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PivotChartFilter="1"/>
  <bookViews>
    <workbookView xWindow="0" yWindow="0" windowWidth="15530" windowHeight="6930"/>
  </bookViews>
  <sheets>
    <sheet name="Sheet1" sheetId="1" r:id="rId1"/>
    <sheet name="Sheet2" sheetId="2" r:id="rId2"/>
    <sheet name="Sheet6" sheetId="6" r:id="rId3"/>
    <sheet name="Sheet3" sheetId="7" r:id="rId4"/>
    <sheet name="Sheet5" sheetId="9" r:id="rId5"/>
    <sheet name="Sheet4" sheetId="8" r:id="rId6"/>
  </sheets>
  <calcPr calcId="124519"/>
  <pivotCaches>
    <pivotCache cacheId="0" r:id="rId7"/>
  </pivotCaches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8"/>
  <c r="H17"/>
  <c r="H19"/>
  <c r="L6"/>
  <c r="L7"/>
  <c r="L8"/>
  <c r="L9"/>
  <c r="L10"/>
  <c r="L11"/>
  <c r="L12"/>
  <c r="L5"/>
  <c r="K7"/>
  <c r="K6"/>
  <c r="K8"/>
  <c r="K9"/>
  <c r="K10"/>
  <c r="K11"/>
  <c r="K12"/>
  <c r="K5"/>
  <c r="J5"/>
  <c r="J6"/>
  <c r="J7"/>
  <c r="J8"/>
  <c r="J9"/>
  <c r="J10"/>
  <c r="J11"/>
  <c r="J12"/>
  <c r="H16"/>
  <c r="H15"/>
  <c r="H14"/>
  <c r="H13"/>
  <c r="G33" i="6"/>
  <c r="G32"/>
  <c r="G31"/>
  <c r="G30"/>
  <c r="G29"/>
  <c r="G28"/>
  <c r="G27"/>
  <c r="G26"/>
  <c r="G25"/>
  <c r="G23"/>
  <c r="G24"/>
  <c r="G22"/>
  <c r="C21" i="1" l="1"/>
  <c r="C15"/>
  <c r="E15" s="1"/>
  <c r="C14"/>
  <c r="E14" s="1"/>
  <c r="C16"/>
  <c r="E16" s="1"/>
  <c r="C17"/>
  <c r="E17" s="1"/>
  <c r="C18"/>
  <c r="E18" s="1"/>
  <c r="C19"/>
  <c r="E19" s="1"/>
  <c r="C20"/>
  <c r="E20" s="1"/>
  <c r="C22"/>
  <c r="E22" s="1"/>
  <c r="C23"/>
  <c r="E23" s="1"/>
  <c r="C24"/>
  <c r="E24" s="1"/>
  <c r="C13"/>
  <c r="E13" s="1"/>
  <c r="C26"/>
  <c r="E26" s="1"/>
  <c r="C27"/>
  <c r="E27" s="1"/>
  <c r="C28"/>
  <c r="E21" l="1"/>
  <c r="E29" s="1"/>
  <c r="E30" s="1"/>
  <c r="E31" s="1"/>
</calcChain>
</file>

<file path=xl/sharedStrings.xml><?xml version="1.0" encoding="utf-8"?>
<sst xmlns="http://schemas.openxmlformats.org/spreadsheetml/2006/main" count="183" uniqueCount="120">
  <si>
    <t>S.no</t>
  </si>
  <si>
    <t>Particular</t>
  </si>
  <si>
    <t>Rate</t>
  </si>
  <si>
    <t>Quality</t>
  </si>
  <si>
    <t>Amount</t>
  </si>
  <si>
    <t>PAKISTAN</t>
  </si>
  <si>
    <t>invoice</t>
  </si>
  <si>
    <t>bill no</t>
  </si>
  <si>
    <t>Date</t>
  </si>
  <si>
    <t>total amount</t>
  </si>
  <si>
    <t>grand total</t>
  </si>
  <si>
    <t>Authorized signature</t>
  </si>
  <si>
    <t>_____________________</t>
  </si>
  <si>
    <t>products</t>
  </si>
  <si>
    <t>shirts</t>
  </si>
  <si>
    <t>t shart</t>
  </si>
  <si>
    <t>ubaya</t>
  </si>
  <si>
    <t>skarf</t>
  </si>
  <si>
    <t>Rates</t>
  </si>
  <si>
    <t>Name :</t>
  </si>
  <si>
    <t>Contact :</t>
  </si>
  <si>
    <t>Address :</t>
  </si>
  <si>
    <t>make up</t>
  </si>
  <si>
    <t>perfume</t>
  </si>
  <si>
    <t>bangles</t>
  </si>
  <si>
    <t>gold</t>
  </si>
  <si>
    <t>trouser</t>
  </si>
  <si>
    <t>rings</t>
  </si>
  <si>
    <t>shoes</t>
  </si>
  <si>
    <t>dress</t>
  </si>
  <si>
    <t>hairband</t>
  </si>
  <si>
    <t>clips</t>
  </si>
  <si>
    <t>flower</t>
  </si>
  <si>
    <t>profit%</t>
  </si>
  <si>
    <t>new karachi</t>
  </si>
  <si>
    <t>noor</t>
  </si>
  <si>
    <t>name</t>
  </si>
  <si>
    <t>usman public school admissoon foam</t>
  </si>
  <si>
    <t>Email</t>
  </si>
  <si>
    <t>father name</t>
  </si>
  <si>
    <t>blood group</t>
  </si>
  <si>
    <t>mother name</t>
  </si>
  <si>
    <t>gender</t>
  </si>
  <si>
    <t>address</t>
  </si>
  <si>
    <t>contact</t>
  </si>
  <si>
    <t>city</t>
  </si>
  <si>
    <t>nationality</t>
  </si>
  <si>
    <t>class applying</t>
  </si>
  <si>
    <t>religion</t>
  </si>
  <si>
    <t>north karachi</t>
  </si>
  <si>
    <t>karachi</t>
  </si>
  <si>
    <t>asma</t>
  </si>
  <si>
    <t>bilal</t>
  </si>
  <si>
    <t>asma2@gmail.com</t>
  </si>
  <si>
    <t>A POSITIVE</t>
  </si>
  <si>
    <t>FEMALE</t>
  </si>
  <si>
    <t>PAKISTANI</t>
  </si>
  <si>
    <t>ISLAM</t>
  </si>
  <si>
    <t>class apply</t>
  </si>
  <si>
    <t>email</t>
  </si>
  <si>
    <t>blood greoup</t>
  </si>
  <si>
    <t>fsther name</t>
  </si>
  <si>
    <t>class applyng</t>
  </si>
  <si>
    <t>bisma</t>
  </si>
  <si>
    <t>chaman</t>
  </si>
  <si>
    <t>rakesh</t>
  </si>
  <si>
    <t>lakshna</t>
  </si>
  <si>
    <t>street2  hari pour</t>
  </si>
  <si>
    <t>lahore</t>
  </si>
  <si>
    <t>HINDU</t>
  </si>
  <si>
    <t>INDIAN</t>
  </si>
  <si>
    <t>B</t>
  </si>
  <si>
    <t>chaman342gmail.com</t>
  </si>
  <si>
    <t>tahir</t>
  </si>
  <si>
    <t>ayesha</t>
  </si>
  <si>
    <t>tahir22@gmail.com</t>
  </si>
  <si>
    <t>A</t>
  </si>
  <si>
    <t>salar</t>
  </si>
  <si>
    <t>jahan</t>
  </si>
  <si>
    <t>imama</t>
  </si>
  <si>
    <t>novels</t>
  </si>
  <si>
    <t>novelskiduni@gmail</t>
  </si>
  <si>
    <t>MALE</t>
  </si>
  <si>
    <t>AMERICAN</t>
  </si>
  <si>
    <t>31/2</t>
  </si>
  <si>
    <t>NOOR COMPANY  LIMIITED ORDERS</t>
  </si>
  <si>
    <t xml:space="preserve"> NORTH KARACHI</t>
  </si>
  <si>
    <t>STUDENTS DATA RECORD</t>
  </si>
  <si>
    <t>class</t>
  </si>
  <si>
    <t>subject</t>
  </si>
  <si>
    <t>marks</t>
  </si>
  <si>
    <t>fee paid</t>
  </si>
  <si>
    <t>sara</t>
  </si>
  <si>
    <t>ali</t>
  </si>
  <si>
    <t>ahmed</t>
  </si>
  <si>
    <t>hina</t>
  </si>
  <si>
    <t>usman</t>
  </si>
  <si>
    <t>zoya</t>
  </si>
  <si>
    <t>fatima</t>
  </si>
  <si>
    <t>math</t>
  </si>
  <si>
    <t>physics</t>
  </si>
  <si>
    <t>chemistry</t>
  </si>
  <si>
    <t>english</t>
  </si>
  <si>
    <t>yes</t>
  </si>
  <si>
    <t>no</t>
  </si>
  <si>
    <t>pass/fail</t>
  </si>
  <si>
    <t>TOTAL NUMBERS</t>
  </si>
  <si>
    <t xml:space="preserve">AVERAGE </t>
  </si>
  <si>
    <t>PAID FEE</t>
  </si>
  <si>
    <t>PASSED SYUDENTS</t>
  </si>
  <si>
    <t>SARA NUMBER</t>
  </si>
  <si>
    <t>SARA RESULT</t>
  </si>
  <si>
    <t>Row Labels</t>
  </si>
  <si>
    <t>Grand Total</t>
  </si>
  <si>
    <t>Sum of marks</t>
  </si>
  <si>
    <t>Column Labels</t>
  </si>
  <si>
    <t>PASS</t>
  </si>
  <si>
    <t>scholarship</t>
  </si>
  <si>
    <t>teacher comments</t>
  </si>
  <si>
    <t>HINA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</si>
</sst>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474747"/>
      <name val="Arial"/>
      <family val="2"/>
    </font>
    <font>
      <u/>
      <sz val="11"/>
      <color theme="10"/>
      <name val="Calibri"/>
      <family val="2"/>
    </font>
    <font>
      <sz val="2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60">
    <xf numFmtId="0" fontId="0" fillId="0" borderId="0" xfId="0"/>
    <xf numFmtId="0" fontId="3" fillId="0" borderId="0" xfId="0" applyFont="1"/>
    <xf numFmtId="0" fontId="3" fillId="4" borderId="0" xfId="0" applyFont="1" applyFill="1"/>
    <xf numFmtId="0" fontId="3" fillId="4" borderId="1" xfId="0" applyFont="1" applyFill="1" applyBorder="1"/>
    <xf numFmtId="0" fontId="3" fillId="5" borderId="1" xfId="0" applyFont="1" applyFill="1" applyBorder="1"/>
    <xf numFmtId="0" fontId="3" fillId="0" borderId="1" xfId="0" applyFont="1" applyBorder="1"/>
    <xf numFmtId="0" fontId="3" fillId="0" borderId="1" xfId="0" applyFont="1" applyFill="1" applyBorder="1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1" xfId="0" applyBorder="1"/>
    <xf numFmtId="0" fontId="7" fillId="0" borderId="0" xfId="0" applyFont="1"/>
    <xf numFmtId="0" fontId="0" fillId="0" borderId="0" xfId="0" applyFont="1"/>
    <xf numFmtId="0" fontId="7" fillId="0" borderId="1" xfId="0" applyFont="1" applyBorder="1"/>
    <xf numFmtId="0" fontId="7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0" borderId="7" xfId="0" applyBorder="1" applyAlignment="1"/>
    <xf numFmtId="0" fontId="0" fillId="0" borderId="0" xfId="0" pivotButton="1"/>
    <xf numFmtId="0" fontId="0" fillId="0" borderId="0" xfId="0" applyNumberFormat="1"/>
    <xf numFmtId="0" fontId="3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" fontId="3" fillId="4" borderId="2" xfId="0" applyNumberFormat="1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8" fillId="6" borderId="1" xfId="1" applyFill="1" applyBorder="1" applyAlignment="1" applyProtection="1">
      <alignment horizont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9" fillId="3" borderId="8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4" xfId="0" applyFont="1" applyFill="1" applyBorder="1" applyAlignment="1">
      <alignment horizontal="center" vertical="top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2" xfId="0" applyBorder="1"/>
    <xf numFmtId="0" fontId="0" fillId="3" borderId="0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</cellXfs>
  <cellStyles count="2">
    <cellStyle name="Hyperlink" xfId="1" builtinId="8"/>
    <cellStyle name="Normal" xfId="0" builtinId="0"/>
  </cellStyles>
  <dxfs count="15"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CC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pivotSource>
    <c:name>[NOOR MINHAJ CIT EXCEL.xlsm]Sheet5!PivotTable1</c:name>
    <c:fmtId val="0"/>
  </c:pivotSource>
  <c:chart>
    <c:title>
      <c:layout/>
    </c:title>
    <c:pivotFmts>
      <c:pivotFmt>
        <c:idx val="0"/>
      </c:pivotFmt>
      <c:pivotFmt>
        <c:idx val="1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Sheet5!$B$3:$B$4</c:f>
              <c:strCache>
                <c:ptCount val="1"/>
                <c:pt idx="0">
                  <c:v>PASS</c:v>
                </c:pt>
              </c:strCache>
            </c:strRef>
          </c:tx>
          <c:cat>
            <c:strRef>
              <c:f>Sheet5!$A$5:$A$9</c:f>
              <c:strCache>
                <c:ptCount val="4"/>
                <c:pt idx="0">
                  <c:v>ali</c:v>
                </c:pt>
                <c:pt idx="1">
                  <c:v>fatima</c:v>
                </c:pt>
                <c:pt idx="2">
                  <c:v>hina</c:v>
                </c:pt>
                <c:pt idx="3">
                  <c:v>sara</c:v>
                </c:pt>
              </c:strCache>
            </c:strRef>
          </c:cat>
          <c:val>
            <c:numRef>
              <c:f>Sheet5!$B$5:$B$9</c:f>
              <c:numCache>
                <c:formatCode>General</c:formatCode>
                <c:ptCount val="4"/>
                <c:pt idx="0">
                  <c:v>78</c:v>
                </c:pt>
                <c:pt idx="1">
                  <c:v>72</c:v>
                </c:pt>
                <c:pt idx="2">
                  <c:v>98</c:v>
                </c:pt>
                <c:pt idx="3">
                  <c:v>87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427181</xdr:colOff>
      <xdr:row>20</xdr:row>
      <xdr:rowOff>23091</xdr:rowOff>
    </xdr:from>
    <xdr:to>
      <xdr:col>16</xdr:col>
      <xdr:colOff>115454</xdr:colOff>
      <xdr:row>24</xdr:row>
      <xdr:rowOff>150090</xdr:rowOff>
    </xdr:to>
    <xdr:sp macro="[0]!usmanpublic" textlink="">
      <xdr:nvSpPr>
        <xdr:cNvPr id="2" name="Rectangle 1"/>
        <xdr:cNvSpPr/>
      </xdr:nvSpPr>
      <xdr:spPr>
        <a:xfrm>
          <a:off x="10021454" y="3717636"/>
          <a:ext cx="1524000" cy="865909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3200">
              <a:latin typeface="Bahnschrift Light" pitchFamily="34" charset="0"/>
            </a:rPr>
            <a:t>submit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482600</xdr:colOff>
      <xdr:row>8</xdr:row>
      <xdr:rowOff>101600</xdr:rowOff>
    </xdr:from>
    <xdr:to>
      <xdr:col>9</xdr:col>
      <xdr:colOff>431800</xdr:colOff>
      <xdr:row>23</xdr:row>
      <xdr:rowOff>82550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C" refreshedDate="46058.045595601849" createdVersion="3" refreshedVersion="3" minRefreshableVersion="3" recordCount="8">
  <cacheSource type="worksheet">
    <worksheetSource ref="D13:J21" sheet="Sheet4"/>
  </cacheSource>
  <cacheFields count="7">
    <cacheField name="name" numFmtId="0">
      <sharedItems count="8">
        <s v="sara"/>
        <s v="ali"/>
        <s v="ahmed"/>
        <s v="ayesha"/>
        <s v="hina"/>
        <s v="usman"/>
        <s v="zoya"/>
        <s v="fatima"/>
      </sharedItems>
    </cacheField>
    <cacheField name="class" numFmtId="0">
      <sharedItems containsSemiMixedTypes="0" containsString="0" containsNumber="1" containsInteger="1" minValue="7" maxValue="10" count="4">
        <n v="10"/>
        <n v="9"/>
        <n v="8"/>
        <n v="7"/>
      </sharedItems>
    </cacheField>
    <cacheField name="subject" numFmtId="0">
      <sharedItems/>
    </cacheField>
    <cacheField name="marks" numFmtId="0">
      <sharedItems containsSemiMixedTypes="0" containsString="0" containsNumber="1" containsInteger="1" minValue="9" maxValue="98"/>
    </cacheField>
    <cacheField name="fee paid" numFmtId="0">
      <sharedItems/>
    </cacheField>
    <cacheField name="city" numFmtId="0">
      <sharedItems/>
    </cacheField>
    <cacheField name="pass/fail" numFmtId="0">
      <sharedItems count="2">
        <s v="PASS"/>
        <s v="FAIL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s v="math"/>
    <n v="87"/>
    <s v="yes"/>
    <s v="lahore"/>
    <x v="0"/>
  </r>
  <r>
    <x v="1"/>
    <x v="1"/>
    <s v="physics"/>
    <n v="78"/>
    <s v="yes"/>
    <s v="karachi"/>
    <x v="0"/>
  </r>
  <r>
    <x v="2"/>
    <x v="0"/>
    <s v="english"/>
    <n v="32"/>
    <s v="no"/>
    <s v="lahore"/>
    <x v="1"/>
  </r>
  <r>
    <x v="3"/>
    <x v="2"/>
    <s v="chemistry"/>
    <n v="49"/>
    <s v="no"/>
    <s v="karachi"/>
    <x v="1"/>
  </r>
  <r>
    <x v="4"/>
    <x v="3"/>
    <s v="math"/>
    <n v="98"/>
    <s v="yes"/>
    <s v="karachi"/>
    <x v="0"/>
  </r>
  <r>
    <x v="5"/>
    <x v="1"/>
    <s v="physics"/>
    <n v="38"/>
    <s v="yes"/>
    <s v="karachi"/>
    <x v="1"/>
  </r>
  <r>
    <x v="6"/>
    <x v="3"/>
    <s v="english"/>
    <n v="9"/>
    <s v="no"/>
    <s v="karachi"/>
    <x v="1"/>
  </r>
  <r>
    <x v="7"/>
    <x v="1"/>
    <s v="chemistry"/>
    <n v="72"/>
    <s v="yes"/>
    <s v="lahore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A3:C9" firstHeaderRow="1" firstDataRow="2" firstDataCol="1"/>
  <pivotFields count="7">
    <pivotField axis="axisRow" showAll="0" sortType="ascending">
      <items count="9">
        <item x="2"/>
        <item x="1"/>
        <item x="3"/>
        <item x="7"/>
        <item x="4"/>
        <item x="0"/>
        <item x="5"/>
        <item x="6"/>
        <item t="default"/>
      </items>
    </pivotField>
    <pivotField showAll="0">
      <items count="5">
        <item h="1" x="3"/>
        <item h="1" x="2"/>
        <item h="1" x="1"/>
        <item x="0"/>
        <item t="default"/>
      </items>
    </pivotField>
    <pivotField showAll="0"/>
    <pivotField dataField="1" showAll="0"/>
    <pivotField showAll="0"/>
    <pivotField showAll="0"/>
    <pivotField axis="axisCol" showAll="0" sortType="ascending">
      <items count="3">
        <item h="1" x="1"/>
        <item x="0"/>
        <item t="default"/>
      </items>
    </pivotField>
  </pivotFields>
  <rowFields count="1">
    <field x="0"/>
  </rowFields>
  <rowItems count="5">
    <i>
      <x v="1"/>
    </i>
    <i>
      <x v="3"/>
    </i>
    <i>
      <x v="4"/>
    </i>
    <i>
      <x v="5"/>
    </i>
    <i t="grand">
      <x/>
    </i>
  </rowItems>
  <colFields count="1">
    <field x="6"/>
  </colFields>
  <colItems count="2">
    <i>
      <x v="1"/>
    </i>
    <i t="grand">
      <x/>
    </i>
  </colItems>
  <dataFields count="1">
    <dataField name="Sum of marks" fld="3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93"/>
  <sheetViews>
    <sheetView tabSelected="1" zoomScale="55" zoomScaleNormal="55" workbookViewId="0">
      <selection activeCell="D16" sqref="D16"/>
    </sheetView>
  </sheetViews>
  <sheetFormatPr defaultRowHeight="14.5"/>
  <cols>
    <col min="1" max="1" width="11.7265625" customWidth="1"/>
    <col min="2" max="2" width="32.08984375" customWidth="1"/>
    <col min="3" max="3" width="15.1796875" customWidth="1"/>
    <col min="4" max="4" width="14" customWidth="1"/>
    <col min="5" max="5" width="11.90625" customWidth="1"/>
  </cols>
  <sheetData>
    <row r="1" spans="1:5" ht="28.5">
      <c r="A1" s="25" t="s">
        <v>85</v>
      </c>
      <c r="B1" s="26"/>
      <c r="C1" s="26"/>
      <c r="D1" s="26"/>
      <c r="E1" s="26"/>
    </row>
    <row r="2" spans="1:5">
      <c r="A2" s="27" t="s">
        <v>86</v>
      </c>
      <c r="B2" s="26"/>
      <c r="C2" s="26"/>
      <c r="D2" s="26"/>
      <c r="E2" s="26"/>
    </row>
    <row r="3" spans="1:5">
      <c r="A3" s="26" t="s">
        <v>5</v>
      </c>
      <c r="B3" s="26"/>
      <c r="C3" s="26"/>
      <c r="D3" s="26"/>
      <c r="E3" s="26"/>
    </row>
    <row r="4" spans="1:5" ht="21">
      <c r="A4" s="28" t="s">
        <v>6</v>
      </c>
      <c r="B4" s="29"/>
      <c r="C4" s="29"/>
      <c r="D4" s="29"/>
      <c r="E4" s="29"/>
    </row>
    <row r="6" spans="1:5" ht="18.5">
      <c r="A6" s="2" t="s">
        <v>7</v>
      </c>
      <c r="B6" s="2"/>
      <c r="C6" s="2" t="s">
        <v>8</v>
      </c>
      <c r="D6" s="30" t="s">
        <v>84</v>
      </c>
      <c r="E6" s="31"/>
    </row>
    <row r="7" spans="1:5" ht="18.5">
      <c r="A7" s="1"/>
      <c r="B7" s="1"/>
      <c r="C7" s="1"/>
      <c r="D7" s="1"/>
      <c r="E7" s="1"/>
    </row>
    <row r="8" spans="1:5" ht="18.5">
      <c r="A8" s="4" t="s">
        <v>19</v>
      </c>
      <c r="B8" s="5" t="s">
        <v>35</v>
      </c>
      <c r="C8" s="1"/>
      <c r="D8" s="1"/>
      <c r="E8" s="1"/>
    </row>
    <row r="9" spans="1:5" ht="18.5">
      <c r="A9" s="4" t="s">
        <v>20</v>
      </c>
      <c r="B9" s="5">
        <v>988387940</v>
      </c>
      <c r="C9" s="1"/>
      <c r="D9" s="1"/>
      <c r="E9" s="1"/>
    </row>
    <row r="10" spans="1:5" ht="18.5">
      <c r="A10" s="4" t="s">
        <v>21</v>
      </c>
      <c r="B10" s="5" t="s">
        <v>34</v>
      </c>
      <c r="C10" s="1"/>
      <c r="D10" s="1"/>
      <c r="E10" s="1"/>
    </row>
    <row r="12" spans="1:5" ht="18.5">
      <c r="A12" s="3" t="s">
        <v>0</v>
      </c>
      <c r="B12" s="3" t="s">
        <v>1</v>
      </c>
      <c r="C12" s="3" t="s">
        <v>2</v>
      </c>
      <c r="D12" s="3" t="s">
        <v>3</v>
      </c>
      <c r="E12" s="4" t="s">
        <v>4</v>
      </c>
    </row>
    <row r="13" spans="1:5" ht="18.5">
      <c r="A13" s="5">
        <v>1</v>
      </c>
      <c r="B13" s="5" t="s">
        <v>15</v>
      </c>
      <c r="C13" s="5">
        <f>IFERROR(VLOOKUP(B13,Sheet2!A1:B16,2,TRUE),"")</f>
        <v>100</v>
      </c>
      <c r="D13" s="5">
        <v>8</v>
      </c>
      <c r="E13" s="6">
        <f>IFERROR(C13*D13,"")</f>
        <v>800</v>
      </c>
    </row>
    <row r="14" spans="1:5" ht="18.5">
      <c r="A14" s="5">
        <v>2</v>
      </c>
      <c r="B14" s="5" t="s">
        <v>28</v>
      </c>
      <c r="C14" s="5">
        <f>IFERROR(VLOOKUP(B14,Sheet2!A2:B17,2,TRUE),"")</f>
        <v>2700</v>
      </c>
      <c r="D14" s="5">
        <v>7</v>
      </c>
      <c r="E14" s="6">
        <f t="shared" ref="E14:E27" si="0">IFERROR(C14*D14,"")</f>
        <v>18900</v>
      </c>
    </row>
    <row r="15" spans="1:5" ht="18.5">
      <c r="A15" s="5">
        <v>3</v>
      </c>
      <c r="B15" s="5" t="s">
        <v>30</v>
      </c>
      <c r="C15" s="5">
        <f>IFERROR(VLOOKUP(B15,Sheet2!A2:B17,2,TRUE),"")</f>
        <v>300</v>
      </c>
      <c r="D15" s="5">
        <v>8</v>
      </c>
      <c r="E15" s="6">
        <f t="shared" si="0"/>
        <v>2400</v>
      </c>
    </row>
    <row r="16" spans="1:5" ht="18.5">
      <c r="A16" s="5">
        <v>4</v>
      </c>
      <c r="B16" s="5" t="s">
        <v>25</v>
      </c>
      <c r="C16" s="5">
        <f>IFERROR(VLOOKUP(B16,Sheet2!A4:B19,2,TRUE),"")</f>
        <v>200</v>
      </c>
      <c r="D16" s="5">
        <v>2</v>
      </c>
      <c r="E16" s="6">
        <f t="shared" si="0"/>
        <v>400</v>
      </c>
    </row>
    <row r="17" spans="1:5" ht="18.5">
      <c r="A17" s="5">
        <v>5</v>
      </c>
      <c r="B17" s="5" t="s">
        <v>32</v>
      </c>
      <c r="C17" s="5">
        <f>IFERROR(VLOOKUP(B17,Sheet2!A5:B20,2,TRUE),"")</f>
        <v>300</v>
      </c>
      <c r="D17" s="5">
        <v>4</v>
      </c>
      <c r="E17" s="6">
        <f t="shared" si="0"/>
        <v>1200</v>
      </c>
    </row>
    <row r="18" spans="1:5" ht="18.5">
      <c r="A18" s="5">
        <v>6</v>
      </c>
      <c r="B18" s="5" t="s">
        <v>22</v>
      </c>
      <c r="C18" s="5">
        <f>IFERROR(VLOOKUP(B18,Sheet2!A6:B21,2,TRUE),"")</f>
        <v>100</v>
      </c>
      <c r="D18" s="5">
        <v>3</v>
      </c>
      <c r="E18" s="6">
        <f t="shared" si="0"/>
        <v>300</v>
      </c>
    </row>
    <row r="19" spans="1:5" ht="18.5">
      <c r="A19" s="5">
        <v>7</v>
      </c>
      <c r="B19" s="5" t="s">
        <v>28</v>
      </c>
      <c r="C19" s="5">
        <f>IFERROR(VLOOKUP(B19,Sheet2!A7:B22,2,TRUE),"")</f>
        <v>100</v>
      </c>
      <c r="D19" s="5"/>
      <c r="E19" s="6">
        <f t="shared" si="0"/>
        <v>0</v>
      </c>
    </row>
    <row r="20" spans="1:5" ht="18.5">
      <c r="A20" s="5">
        <v>8</v>
      </c>
      <c r="B20" s="5" t="s">
        <v>24</v>
      </c>
      <c r="C20" s="5">
        <f>IFERROR(VLOOKUP(B20,Sheet2!A8:B23,2,TRUE),"")</f>
        <v>200</v>
      </c>
      <c r="D20" s="5">
        <v>4</v>
      </c>
      <c r="E20" s="6">
        <f t="shared" si="0"/>
        <v>800</v>
      </c>
    </row>
    <row r="21" spans="1:5" ht="18.5">
      <c r="A21" s="5">
        <v>9</v>
      </c>
      <c r="B21" s="5" t="s">
        <v>29</v>
      </c>
      <c r="C21" s="5">
        <f>IFERROR(VLOOKUP(B21,Sheet2!A9:B24,2,TRUE),"")</f>
        <v>100</v>
      </c>
      <c r="D21" s="5">
        <v>10</v>
      </c>
      <c r="E21" s="6">
        <f t="shared" si="0"/>
        <v>1000</v>
      </c>
    </row>
    <row r="22" spans="1:5" ht="18.5">
      <c r="A22" s="5"/>
      <c r="B22" s="5"/>
      <c r="C22" s="5" t="str">
        <f>IFERROR(VLOOKUP(B22,Sheet2!A10:B25,2,TRUE),"")</f>
        <v/>
      </c>
      <c r="D22" s="5"/>
      <c r="E22" s="6" t="str">
        <f t="shared" si="0"/>
        <v/>
      </c>
    </row>
    <row r="23" spans="1:5" ht="18.5">
      <c r="A23" s="5"/>
      <c r="B23" s="5"/>
      <c r="C23" s="5" t="str">
        <f>IFERROR(VLOOKUP(B23,Sheet2!A11:B26,2,TRUE),"")</f>
        <v/>
      </c>
      <c r="D23" s="5"/>
      <c r="E23" s="6" t="str">
        <f t="shared" si="0"/>
        <v/>
      </c>
    </row>
    <row r="24" spans="1:5" ht="18.5">
      <c r="A24" s="5"/>
      <c r="B24" s="5"/>
      <c r="C24" s="5" t="str">
        <f>IFERROR(VLOOKUP(B24,Sheet2!A12:B27,2,TRUE),"")</f>
        <v/>
      </c>
      <c r="D24" s="5"/>
      <c r="E24" s="6" t="str">
        <f t="shared" si="0"/>
        <v/>
      </c>
    </row>
    <row r="25" spans="1:5" ht="18.5">
      <c r="A25" s="5"/>
      <c r="B25" s="5"/>
      <c r="C25" s="5"/>
      <c r="D25" s="5"/>
      <c r="E25" s="6"/>
    </row>
    <row r="26" spans="1:5" ht="18.5">
      <c r="A26" s="5"/>
      <c r="B26" s="5"/>
      <c r="C26" s="5" t="str">
        <f>IFERROR(VLOOKUP(B26,Sheet2!A14:B29,2,TRUE),"")</f>
        <v/>
      </c>
      <c r="D26" s="5"/>
      <c r="E26" s="6" t="str">
        <f t="shared" si="0"/>
        <v/>
      </c>
    </row>
    <row r="27" spans="1:5" ht="18.5">
      <c r="A27" s="5"/>
      <c r="B27" s="5"/>
      <c r="C27" s="5" t="str">
        <f>IFERROR(VLOOKUP(B27,Sheet2!A15:B30,2,TRUE),"")</f>
        <v/>
      </c>
      <c r="D27" s="5"/>
      <c r="E27" s="6" t="str">
        <f t="shared" si="0"/>
        <v/>
      </c>
    </row>
    <row r="28" spans="1:5" ht="18.5">
      <c r="A28" s="5"/>
      <c r="B28" s="5"/>
      <c r="C28" s="5" t="str">
        <f>IFERROR(VLOOKUP(B28,Sheet2!A16:B31,2,TRUE),"")</f>
        <v/>
      </c>
      <c r="D28" s="5"/>
      <c r="E28" s="6"/>
    </row>
    <row r="29" spans="1:5" ht="18.5">
      <c r="A29" s="1"/>
      <c r="B29" s="5"/>
      <c r="C29" s="32" t="s">
        <v>9</v>
      </c>
      <c r="D29" s="32"/>
      <c r="E29" s="5">
        <f>SUM(E13:E21)</f>
        <v>25800</v>
      </c>
    </row>
    <row r="30" spans="1:5" ht="18.5">
      <c r="A30" s="1"/>
      <c r="B30" s="5"/>
      <c r="C30" s="33" t="s">
        <v>33</v>
      </c>
      <c r="D30" s="33"/>
      <c r="E30" s="5">
        <f>E29*9%</f>
        <v>2322</v>
      </c>
    </row>
    <row r="31" spans="1:5" ht="18.5">
      <c r="A31" s="1"/>
      <c r="B31" s="1"/>
      <c r="C31" s="34" t="s">
        <v>10</v>
      </c>
      <c r="D31" s="34"/>
      <c r="E31" s="5">
        <f>SUM(E29:E30)</f>
        <v>28122</v>
      </c>
    </row>
    <row r="32" spans="1:5" ht="18.5">
      <c r="A32" s="1"/>
      <c r="B32" s="1"/>
    </row>
    <row r="33" spans="1:5" ht="18.5">
      <c r="A33" s="1"/>
      <c r="B33" s="1"/>
      <c r="C33" s="1"/>
      <c r="D33" s="1"/>
      <c r="E33" s="1"/>
    </row>
    <row r="34" spans="1:5" ht="18.5">
      <c r="A34" s="1"/>
      <c r="B34" s="1"/>
      <c r="C34" s="1"/>
      <c r="D34" s="1"/>
      <c r="E34" s="1"/>
    </row>
    <row r="35" spans="1:5" ht="18.5">
      <c r="A35" s="1"/>
      <c r="B35" s="1"/>
      <c r="C35" s="24" t="s">
        <v>12</v>
      </c>
      <c r="D35" s="24"/>
      <c r="E35" s="1"/>
    </row>
    <row r="36" spans="1:5" ht="18.5">
      <c r="A36" s="1"/>
      <c r="B36" s="1"/>
      <c r="C36" s="1" t="s">
        <v>11</v>
      </c>
      <c r="D36" s="1"/>
      <c r="E36" s="1"/>
    </row>
    <row r="37" spans="1:5" ht="18.5">
      <c r="A37" s="1"/>
      <c r="B37" s="1"/>
      <c r="C37" s="1"/>
      <c r="D37" s="1"/>
      <c r="E37" s="1"/>
    </row>
    <row r="38" spans="1:5" ht="18.5">
      <c r="A38" s="1"/>
      <c r="B38" s="1"/>
      <c r="C38" s="1"/>
      <c r="D38" s="1"/>
      <c r="E38" s="1"/>
    </row>
    <row r="39" spans="1:5" ht="18.5">
      <c r="A39" s="1"/>
      <c r="B39" s="1"/>
      <c r="C39" s="1"/>
      <c r="D39" s="1"/>
      <c r="E39" s="1"/>
    </row>
    <row r="40" spans="1:5" ht="18.5">
      <c r="A40" s="1"/>
      <c r="B40" s="1"/>
      <c r="C40" s="1"/>
      <c r="D40" s="1"/>
      <c r="E40" s="1"/>
    </row>
    <row r="41" spans="1:5" ht="18.5">
      <c r="A41" s="1"/>
      <c r="B41" s="1"/>
      <c r="C41" s="1"/>
      <c r="D41" s="1"/>
      <c r="E41" s="1"/>
    </row>
    <row r="42" spans="1:5" ht="18.5">
      <c r="A42" s="1"/>
      <c r="B42" s="1"/>
      <c r="C42" s="1"/>
      <c r="D42" s="1"/>
      <c r="E42" s="1"/>
    </row>
    <row r="43" spans="1:5" ht="18.5">
      <c r="A43" s="1"/>
      <c r="B43" s="1"/>
      <c r="C43" s="1"/>
      <c r="D43" s="1"/>
      <c r="E43" s="1"/>
    </row>
    <row r="44" spans="1:5" ht="18.5">
      <c r="A44" s="1"/>
      <c r="B44" s="1"/>
      <c r="C44" s="1"/>
      <c r="D44" s="1"/>
      <c r="E44" s="1"/>
    </row>
    <row r="45" spans="1:5" ht="18.5">
      <c r="A45" s="1"/>
      <c r="B45" s="1"/>
      <c r="C45" s="1"/>
      <c r="D45" s="1"/>
      <c r="E45" s="1"/>
    </row>
    <row r="46" spans="1:5" ht="18.5">
      <c r="A46" s="1"/>
      <c r="B46" s="1"/>
      <c r="C46" s="1"/>
      <c r="D46" s="1"/>
      <c r="E46" s="1"/>
    </row>
    <row r="47" spans="1:5" ht="18.5">
      <c r="A47" s="1"/>
      <c r="B47" s="1"/>
      <c r="C47" s="1"/>
      <c r="D47" s="1"/>
      <c r="E47" s="1"/>
    </row>
    <row r="48" spans="1:5" ht="18.5">
      <c r="A48" s="1"/>
      <c r="B48" s="1"/>
      <c r="C48" s="1"/>
      <c r="D48" s="1"/>
      <c r="E48" s="1"/>
    </row>
    <row r="49" spans="1:5" ht="18.5">
      <c r="A49" s="1"/>
      <c r="B49" s="1"/>
      <c r="C49" s="1"/>
      <c r="D49" s="1"/>
      <c r="E49" s="1"/>
    </row>
    <row r="50" spans="1:5" ht="18.5">
      <c r="A50" s="1"/>
      <c r="B50" s="1"/>
      <c r="C50" s="1"/>
      <c r="D50" s="1"/>
      <c r="E50" s="1"/>
    </row>
    <row r="51" spans="1:5" ht="18.5">
      <c r="A51" s="1"/>
      <c r="B51" s="1"/>
      <c r="C51" s="1"/>
      <c r="D51" s="1"/>
      <c r="E51" s="1"/>
    </row>
    <row r="52" spans="1:5" ht="18.5">
      <c r="A52" s="1"/>
      <c r="B52" s="1"/>
      <c r="C52" s="1"/>
      <c r="D52" s="1"/>
      <c r="E52" s="1"/>
    </row>
    <row r="53" spans="1:5" ht="18.5">
      <c r="A53" s="1"/>
      <c r="B53" s="1"/>
      <c r="C53" s="1"/>
      <c r="D53" s="1"/>
      <c r="E53" s="1"/>
    </row>
    <row r="54" spans="1:5" ht="18.5">
      <c r="A54" s="1"/>
      <c r="B54" s="1"/>
      <c r="C54" s="1"/>
      <c r="D54" s="1"/>
      <c r="E54" s="1"/>
    </row>
    <row r="55" spans="1:5" ht="18.5">
      <c r="A55" s="1"/>
      <c r="B55" s="1"/>
      <c r="C55" s="1"/>
      <c r="D55" s="1"/>
      <c r="E55" s="1"/>
    </row>
    <row r="56" spans="1:5" ht="18.5">
      <c r="A56" s="1"/>
      <c r="B56" s="1"/>
      <c r="C56" s="1"/>
      <c r="D56" s="1"/>
      <c r="E56" s="1"/>
    </row>
    <row r="57" spans="1:5" ht="18.5">
      <c r="A57" s="1"/>
      <c r="B57" s="1"/>
      <c r="C57" s="1"/>
      <c r="D57" s="1"/>
      <c r="E57" s="1"/>
    </row>
    <row r="58" spans="1:5" ht="18.5">
      <c r="A58" s="1"/>
      <c r="B58" s="1"/>
      <c r="C58" s="1"/>
      <c r="D58" s="1"/>
      <c r="E58" s="1"/>
    </row>
    <row r="59" spans="1:5" ht="18.5">
      <c r="A59" s="1"/>
      <c r="B59" s="1"/>
      <c r="C59" s="1"/>
      <c r="D59" s="1"/>
      <c r="E59" s="1"/>
    </row>
    <row r="60" spans="1:5" ht="18.5">
      <c r="A60" s="1"/>
      <c r="B60" s="1"/>
      <c r="C60" s="1"/>
      <c r="D60" s="1"/>
      <c r="E60" s="1"/>
    </row>
    <row r="61" spans="1:5" ht="18.5">
      <c r="A61" s="1"/>
      <c r="B61" s="1"/>
      <c r="C61" s="1"/>
      <c r="D61" s="1"/>
      <c r="E61" s="1"/>
    </row>
    <row r="62" spans="1:5" ht="18.5">
      <c r="A62" s="1"/>
      <c r="B62" s="1"/>
      <c r="C62" s="1"/>
      <c r="D62" s="1"/>
      <c r="E62" s="1"/>
    </row>
    <row r="63" spans="1:5" ht="18.5">
      <c r="A63" s="1"/>
      <c r="B63" s="1"/>
      <c r="C63" s="1"/>
      <c r="D63" s="1"/>
      <c r="E63" s="1"/>
    </row>
    <row r="64" spans="1:5" ht="18.5">
      <c r="A64" s="1"/>
      <c r="B64" s="1"/>
      <c r="C64" s="1"/>
      <c r="D64" s="1"/>
      <c r="E64" s="1"/>
    </row>
    <row r="65" spans="1:5" ht="18.5">
      <c r="A65" s="1"/>
      <c r="B65" s="1"/>
      <c r="C65" s="1"/>
      <c r="D65" s="1"/>
      <c r="E65" s="1"/>
    </row>
    <row r="66" spans="1:5" ht="18.5">
      <c r="A66" s="1"/>
      <c r="B66" s="1"/>
      <c r="C66" s="1"/>
      <c r="D66" s="1"/>
      <c r="E66" s="1"/>
    </row>
    <row r="67" spans="1:5" ht="18.5">
      <c r="A67" s="1"/>
      <c r="B67" s="1"/>
      <c r="C67" s="1"/>
      <c r="D67" s="1"/>
      <c r="E67" s="1"/>
    </row>
    <row r="68" spans="1:5" ht="18.5">
      <c r="A68" s="1"/>
      <c r="B68" s="1"/>
      <c r="C68" s="1"/>
      <c r="D68" s="1"/>
      <c r="E68" s="1"/>
    </row>
    <row r="69" spans="1:5" ht="18.5">
      <c r="A69" s="1"/>
      <c r="B69" s="1"/>
      <c r="C69" s="1"/>
      <c r="D69" s="1"/>
      <c r="E69" s="1"/>
    </row>
    <row r="70" spans="1:5" ht="18.5">
      <c r="A70" s="1"/>
      <c r="B70" s="1"/>
      <c r="C70" s="1"/>
      <c r="D70" s="1"/>
      <c r="E70" s="1"/>
    </row>
    <row r="71" spans="1:5" ht="18.5">
      <c r="A71" s="1"/>
      <c r="B71" s="1"/>
      <c r="C71" s="1"/>
      <c r="D71" s="1"/>
      <c r="E71" s="1"/>
    </row>
    <row r="72" spans="1:5" ht="18.5">
      <c r="A72" s="1"/>
      <c r="B72" s="1"/>
      <c r="C72" s="1"/>
      <c r="D72" s="1"/>
      <c r="E72" s="1"/>
    </row>
    <row r="73" spans="1:5" ht="18.5">
      <c r="A73" s="1"/>
      <c r="B73" s="1"/>
      <c r="C73" s="1"/>
      <c r="D73" s="1"/>
      <c r="E73" s="1"/>
    </row>
    <row r="74" spans="1:5" ht="18.5">
      <c r="A74" s="1"/>
      <c r="B74" s="1"/>
      <c r="C74" s="1"/>
      <c r="D74" s="1"/>
      <c r="E74" s="1"/>
    </row>
    <row r="75" spans="1:5" ht="18.5">
      <c r="A75" s="1"/>
      <c r="B75" s="1"/>
      <c r="C75" s="1"/>
      <c r="D75" s="1"/>
      <c r="E75" s="1"/>
    </row>
    <row r="76" spans="1:5" ht="18.5">
      <c r="A76" s="1"/>
      <c r="B76" s="1"/>
      <c r="C76" s="1"/>
      <c r="D76" s="1"/>
      <c r="E76" s="1"/>
    </row>
    <row r="77" spans="1:5" ht="18.5">
      <c r="A77" s="1"/>
      <c r="B77" s="1"/>
      <c r="C77" s="1"/>
      <c r="D77" s="1"/>
      <c r="E77" s="1"/>
    </row>
    <row r="78" spans="1:5" ht="18.5">
      <c r="A78" s="1"/>
      <c r="B78" s="1"/>
      <c r="C78" s="1"/>
      <c r="D78" s="1"/>
      <c r="E78" s="1"/>
    </row>
    <row r="79" spans="1:5" ht="18.5">
      <c r="A79" s="1"/>
      <c r="B79" s="1"/>
      <c r="C79" s="1"/>
      <c r="D79" s="1"/>
      <c r="E79" s="1"/>
    </row>
    <row r="80" spans="1:5" ht="18.5">
      <c r="A80" s="1"/>
      <c r="B80" s="1"/>
      <c r="C80" s="1"/>
      <c r="D80" s="1"/>
      <c r="E80" s="1"/>
    </row>
    <row r="81" spans="1:5" ht="18.5">
      <c r="A81" s="1"/>
      <c r="B81" s="1"/>
      <c r="C81" s="1"/>
      <c r="D81" s="1"/>
      <c r="E81" s="1"/>
    </row>
    <row r="82" spans="1:5" ht="18.5">
      <c r="A82" s="1"/>
      <c r="B82" s="1"/>
      <c r="C82" s="1"/>
      <c r="D82" s="1"/>
      <c r="E82" s="1"/>
    </row>
    <row r="83" spans="1:5" ht="18.5">
      <c r="A83" s="1"/>
      <c r="B83" s="1"/>
      <c r="C83" s="1"/>
      <c r="D83" s="1"/>
      <c r="E83" s="1"/>
    </row>
    <row r="84" spans="1:5" ht="18.5">
      <c r="A84" s="1"/>
      <c r="B84" s="1"/>
      <c r="C84" s="1"/>
      <c r="D84" s="1"/>
      <c r="E84" s="1"/>
    </row>
    <row r="85" spans="1:5" ht="18.5">
      <c r="A85" s="1"/>
      <c r="B85" s="1"/>
      <c r="C85" s="1"/>
      <c r="D85" s="1"/>
      <c r="E85" s="1"/>
    </row>
    <row r="86" spans="1:5" ht="18.5">
      <c r="A86" s="1"/>
      <c r="B86" s="1"/>
      <c r="C86" s="1"/>
      <c r="D86" s="1"/>
      <c r="E86" s="1"/>
    </row>
    <row r="87" spans="1:5" ht="18.5">
      <c r="A87" s="1"/>
      <c r="B87" s="1"/>
      <c r="C87" s="1"/>
      <c r="D87" s="1"/>
      <c r="E87" s="1"/>
    </row>
    <row r="88" spans="1:5" ht="18.5">
      <c r="A88" s="1"/>
      <c r="B88" s="1"/>
      <c r="C88" s="1"/>
      <c r="D88" s="1"/>
      <c r="E88" s="1"/>
    </row>
    <row r="89" spans="1:5" ht="18.5">
      <c r="A89" s="1"/>
      <c r="B89" s="1"/>
      <c r="C89" s="1"/>
      <c r="D89" s="1"/>
      <c r="E89" s="1"/>
    </row>
    <row r="90" spans="1:5" ht="18.5">
      <c r="A90" s="1"/>
      <c r="B90" s="1"/>
      <c r="C90" s="1"/>
      <c r="D90" s="1"/>
      <c r="E90" s="1"/>
    </row>
    <row r="91" spans="1:5" ht="18.5">
      <c r="A91" s="1"/>
      <c r="B91" s="1"/>
      <c r="C91" s="1"/>
      <c r="D91" s="1"/>
      <c r="E91" s="1"/>
    </row>
    <row r="92" spans="1:5" ht="18.5">
      <c r="A92" s="1"/>
      <c r="B92" s="1"/>
      <c r="C92" s="1"/>
      <c r="D92" s="1"/>
      <c r="E92" s="1"/>
    </row>
    <row r="93" spans="1:5" ht="18.5">
      <c r="A93" s="1"/>
      <c r="B93" s="1"/>
      <c r="C93" s="1"/>
      <c r="D93" s="1"/>
      <c r="E93" s="1"/>
    </row>
  </sheetData>
  <mergeCells count="9">
    <mergeCell ref="C35:D35"/>
    <mergeCell ref="A1:E1"/>
    <mergeCell ref="A2:E2"/>
    <mergeCell ref="A3:E3"/>
    <mergeCell ref="A4:E4"/>
    <mergeCell ref="D6:E6"/>
    <mergeCell ref="C29:D29"/>
    <mergeCell ref="C30:D30"/>
    <mergeCell ref="C31:D31"/>
  </mergeCells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Sheet2!$A$2:$A$16</xm:f>
          </x14:formula1>
          <xm:sqref>B13:B30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dimension ref="A1:B16"/>
  <sheetViews>
    <sheetView workbookViewId="0">
      <selection activeCell="B13" sqref="B13"/>
    </sheetView>
  </sheetViews>
  <sheetFormatPr defaultRowHeight="14.5"/>
  <sheetData>
    <row r="1" spans="1:2">
      <c r="A1" s="7" t="s">
        <v>13</v>
      </c>
      <c r="B1" s="7" t="s">
        <v>18</v>
      </c>
    </row>
    <row r="2" spans="1:2">
      <c r="A2" s="7" t="s">
        <v>14</v>
      </c>
      <c r="B2" s="7">
        <v>400</v>
      </c>
    </row>
    <row r="3" spans="1:2">
      <c r="A3" s="7" t="s">
        <v>26</v>
      </c>
      <c r="B3" s="7">
        <v>1000</v>
      </c>
    </row>
    <row r="4" spans="1:2">
      <c r="A4" s="7" t="s">
        <v>15</v>
      </c>
      <c r="B4" s="7">
        <v>400</v>
      </c>
    </row>
    <row r="5" spans="1:2">
      <c r="A5" s="7" t="s">
        <v>25</v>
      </c>
      <c r="B5" s="7">
        <v>100</v>
      </c>
    </row>
    <row r="6" spans="1:2">
      <c r="A6" s="7" t="s">
        <v>32</v>
      </c>
      <c r="B6" s="7">
        <v>300</v>
      </c>
    </row>
    <row r="7" spans="1:2">
      <c r="A7" s="7" t="s">
        <v>16</v>
      </c>
      <c r="B7" s="7">
        <v>2800</v>
      </c>
    </row>
    <row r="8" spans="1:2">
      <c r="A8" s="7" t="s">
        <v>17</v>
      </c>
      <c r="B8" s="7">
        <v>700</v>
      </c>
    </row>
    <row r="9" spans="1:2">
      <c r="A9" s="7" t="s">
        <v>22</v>
      </c>
      <c r="B9" s="7">
        <v>100</v>
      </c>
    </row>
    <row r="10" spans="1:2">
      <c r="A10" s="7" t="s">
        <v>23</v>
      </c>
      <c r="B10" s="7">
        <v>2980</v>
      </c>
    </row>
    <row r="11" spans="1:2">
      <c r="A11" s="7" t="s">
        <v>24</v>
      </c>
      <c r="B11" s="7">
        <v>200</v>
      </c>
    </row>
    <row r="12" spans="1:2">
      <c r="A12" s="7" t="s">
        <v>27</v>
      </c>
      <c r="B12" s="7">
        <v>100</v>
      </c>
    </row>
    <row r="13" spans="1:2">
      <c r="A13" s="7" t="s">
        <v>28</v>
      </c>
      <c r="B13" s="7">
        <v>2700</v>
      </c>
    </row>
    <row r="14" spans="1:2">
      <c r="A14" s="7" t="s">
        <v>29</v>
      </c>
      <c r="B14" s="7">
        <v>3000</v>
      </c>
    </row>
    <row r="15" spans="1:2">
      <c r="A15" s="7" t="s">
        <v>30</v>
      </c>
      <c r="B15" s="7">
        <v>70</v>
      </c>
    </row>
    <row r="16" spans="1:2">
      <c r="A16" s="7" t="s">
        <v>31</v>
      </c>
      <c r="B16" s="7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E1:R33"/>
  <sheetViews>
    <sheetView zoomScale="55" zoomScaleNormal="55" workbookViewId="0">
      <selection activeCell="I7" sqref="I7:J7"/>
    </sheetView>
  </sheetViews>
  <sheetFormatPr defaultRowHeight="14.5"/>
  <cols>
    <col min="4" max="4" width="6.26953125" customWidth="1"/>
    <col min="5" max="5" width="13.81640625" customWidth="1"/>
    <col min="6" max="6" width="8.7265625" customWidth="1"/>
    <col min="7" max="7" width="21.08984375" customWidth="1"/>
    <col min="10" max="10" width="11" customWidth="1"/>
    <col min="12" max="12" width="14.81640625" customWidth="1"/>
  </cols>
  <sheetData>
    <row r="1" spans="5:18" ht="14.5" customHeight="1"/>
    <row r="2" spans="5:18">
      <c r="E2" s="37" t="s">
        <v>37</v>
      </c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9"/>
    </row>
    <row r="3" spans="5:18" ht="14.5" customHeight="1">
      <c r="E3" s="40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2"/>
    </row>
    <row r="4" spans="5:18" ht="14.5" customHeight="1">
      <c r="E4" s="40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2"/>
    </row>
    <row r="5" spans="5:18" ht="14.5" customHeight="1">
      <c r="E5" s="40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2"/>
    </row>
    <row r="6" spans="5:18">
      <c r="E6" s="15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14"/>
    </row>
    <row r="7" spans="5:18">
      <c r="E7" s="15"/>
      <c r="F7" s="9"/>
      <c r="G7" s="8" t="s">
        <v>36</v>
      </c>
      <c r="H7" s="9"/>
      <c r="I7" s="35"/>
      <c r="J7" s="35"/>
      <c r="K7" s="9"/>
      <c r="L7" s="8" t="s">
        <v>38</v>
      </c>
      <c r="M7" s="9"/>
      <c r="N7" s="36"/>
      <c r="O7" s="35"/>
      <c r="P7" s="9"/>
      <c r="Q7" s="9"/>
      <c r="R7" s="14"/>
    </row>
    <row r="8" spans="5:18">
      <c r="E8" s="15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14"/>
    </row>
    <row r="9" spans="5:18">
      <c r="E9" s="15"/>
      <c r="F9" s="9"/>
      <c r="G9" s="8" t="s">
        <v>39</v>
      </c>
      <c r="H9" s="9"/>
      <c r="I9" s="35"/>
      <c r="J9" s="35"/>
      <c r="K9" s="9"/>
      <c r="L9" s="8" t="s">
        <v>40</v>
      </c>
      <c r="M9" s="9"/>
      <c r="N9" s="35"/>
      <c r="O9" s="35"/>
      <c r="P9" s="9"/>
      <c r="Q9" s="9"/>
      <c r="R9" s="14"/>
    </row>
    <row r="10" spans="5:18">
      <c r="E10" s="15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14"/>
    </row>
    <row r="11" spans="5:18">
      <c r="E11" s="15"/>
      <c r="F11" s="9"/>
      <c r="G11" s="8" t="s">
        <v>41</v>
      </c>
      <c r="H11" s="9"/>
      <c r="I11" s="35"/>
      <c r="J11" s="35"/>
      <c r="K11" s="9"/>
      <c r="L11" s="8" t="s">
        <v>42</v>
      </c>
      <c r="M11" s="9"/>
      <c r="N11" s="35"/>
      <c r="O11" s="35"/>
      <c r="P11" s="9"/>
      <c r="Q11" s="9"/>
      <c r="R11" s="14"/>
    </row>
    <row r="12" spans="5:18">
      <c r="E12" s="15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14"/>
    </row>
    <row r="13" spans="5:18">
      <c r="E13" s="15"/>
      <c r="F13" s="9"/>
      <c r="G13" s="8" t="s">
        <v>43</v>
      </c>
      <c r="H13" s="9"/>
      <c r="I13" s="35"/>
      <c r="J13" s="35"/>
      <c r="K13" s="9"/>
      <c r="L13" s="8" t="s">
        <v>44</v>
      </c>
      <c r="M13" s="9"/>
      <c r="N13" s="35"/>
      <c r="O13" s="35"/>
      <c r="P13" s="9"/>
      <c r="Q13" s="9"/>
      <c r="R13" s="14"/>
    </row>
    <row r="14" spans="5:18">
      <c r="E14" s="15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14"/>
    </row>
    <row r="15" spans="5:18">
      <c r="E15" s="15"/>
      <c r="F15" s="9"/>
      <c r="G15" s="8" t="s">
        <v>45</v>
      </c>
      <c r="H15" s="9"/>
      <c r="I15" s="35"/>
      <c r="J15" s="35"/>
      <c r="K15" s="9"/>
      <c r="L15" s="8" t="s">
        <v>46</v>
      </c>
      <c r="M15" s="9"/>
      <c r="N15" s="35"/>
      <c r="O15" s="35"/>
      <c r="P15" s="9"/>
      <c r="Q15" s="9"/>
      <c r="R15" s="14"/>
    </row>
    <row r="16" spans="5:18">
      <c r="E16" s="15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14"/>
    </row>
    <row r="17" spans="5:18">
      <c r="E17" s="15"/>
      <c r="F17" s="9"/>
      <c r="G17" s="8" t="s">
        <v>47</v>
      </c>
      <c r="H17" s="9"/>
      <c r="I17" s="35"/>
      <c r="J17" s="35"/>
      <c r="K17" s="9"/>
      <c r="L17" s="8" t="s">
        <v>48</v>
      </c>
      <c r="M17" s="9"/>
      <c r="N17" s="35"/>
      <c r="O17" s="35"/>
      <c r="P17" s="9"/>
      <c r="Q17" s="9"/>
      <c r="R17" s="14"/>
    </row>
    <row r="18" spans="5:18">
      <c r="E18" s="15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14"/>
    </row>
    <row r="19" spans="5:18">
      <c r="E19" s="12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3"/>
    </row>
    <row r="22" spans="5:18">
      <c r="E22" t="s">
        <v>36</v>
      </c>
      <c r="G22" s="16">
        <f>I7</f>
        <v>0</v>
      </c>
    </row>
    <row r="23" spans="5:18">
      <c r="E23" t="s">
        <v>61</v>
      </c>
      <c r="G23" s="16">
        <f>I9</f>
        <v>0</v>
      </c>
    </row>
    <row r="24" spans="5:18">
      <c r="E24" t="s">
        <v>41</v>
      </c>
      <c r="G24" s="16">
        <f>I11</f>
        <v>0</v>
      </c>
    </row>
    <row r="25" spans="5:18">
      <c r="E25" t="s">
        <v>43</v>
      </c>
      <c r="G25" s="17">
        <f>I13</f>
        <v>0</v>
      </c>
    </row>
    <row r="26" spans="5:18">
      <c r="E26" t="s">
        <v>45</v>
      </c>
      <c r="G26" s="17">
        <f>I15</f>
        <v>0</v>
      </c>
    </row>
    <row r="27" spans="5:18">
      <c r="E27" t="s">
        <v>62</v>
      </c>
      <c r="G27" s="19">
        <f>I17</f>
        <v>0</v>
      </c>
    </row>
    <row r="28" spans="5:18">
      <c r="E28" t="s">
        <v>59</v>
      </c>
      <c r="G28" s="20">
        <f>N7</f>
        <v>0</v>
      </c>
    </row>
    <row r="29" spans="5:18">
      <c r="E29" t="s">
        <v>40</v>
      </c>
      <c r="G29" s="16">
        <f>N9</f>
        <v>0</v>
      </c>
    </row>
    <row r="30" spans="5:18">
      <c r="E30" t="s">
        <v>42</v>
      </c>
      <c r="G30" s="17">
        <f>N11</f>
        <v>0</v>
      </c>
    </row>
    <row r="31" spans="5:18">
      <c r="E31" t="s">
        <v>44</v>
      </c>
      <c r="G31" s="19">
        <f>N13</f>
        <v>0</v>
      </c>
    </row>
    <row r="32" spans="5:18">
      <c r="E32" t="s">
        <v>46</v>
      </c>
      <c r="G32" s="16">
        <f>N15</f>
        <v>0</v>
      </c>
    </row>
    <row r="33" spans="5:7">
      <c r="E33" t="s">
        <v>48</v>
      </c>
      <c r="G33" s="16">
        <f>N17</f>
        <v>0</v>
      </c>
    </row>
  </sheetData>
  <mergeCells count="13">
    <mergeCell ref="E2:R5"/>
    <mergeCell ref="I7:J7"/>
    <mergeCell ref="N7:O7"/>
    <mergeCell ref="I9:J9"/>
    <mergeCell ref="N9:O9"/>
    <mergeCell ref="I11:J11"/>
    <mergeCell ref="N11:O11"/>
    <mergeCell ref="I13:J13"/>
    <mergeCell ref="N13:O13"/>
    <mergeCell ref="I15:J15"/>
    <mergeCell ref="N15:O15"/>
    <mergeCell ref="I17:J17"/>
    <mergeCell ref="N17:O17"/>
  </mergeCells>
  <dataValidations count="6">
    <dataValidation type="list" allowBlank="1" showInputMessage="1" showErrorMessage="1" sqref="N17:O17">
      <formula1>"ISLAM,CRISTIAN,HINDU,SIKH,OTHERS"</formula1>
    </dataValidation>
    <dataValidation type="list" allowBlank="1" showInputMessage="1" showErrorMessage="1" sqref="N15:O15">
      <formula1>"PAKISTANI,INDIAN,AMERICAN,CHINA,OTHERS"</formula1>
    </dataValidation>
    <dataValidation type="list" allowBlank="1" showInputMessage="1" showErrorMessage="1" sqref="N11:O11">
      <formula1>"MALE,FEMALE"</formula1>
    </dataValidation>
    <dataValidation type="list" allowBlank="1" showInputMessage="1" showErrorMessage="1" sqref="N9:O9">
      <formula1>"A,B,A POSITIVE,B POSITIVE, B NEGATIVE, B POSITIVE"</formula1>
    </dataValidation>
    <dataValidation type="list" allowBlank="1" showInputMessage="1" showErrorMessage="1" sqref="I17:J17">
      <formula1>"1,2,3,4,9,8,7,10,11,12"</formula1>
    </dataValidation>
    <dataValidation type="list" allowBlank="1" showInputMessage="1" showErrorMessage="1" sqref="I15:J15">
      <formula1>"karachi,lahore,hyderabad,quetta,peshawar,islamabad"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L5"/>
  <sheetViews>
    <sheetView zoomScale="55" zoomScaleNormal="55" workbookViewId="0">
      <selection activeCell="D45" sqref="D45"/>
    </sheetView>
  </sheetViews>
  <sheetFormatPr defaultRowHeight="14.5"/>
  <cols>
    <col min="2" max="2" width="17.90625" customWidth="1"/>
    <col min="3" max="3" width="15.26953125" customWidth="1"/>
    <col min="4" max="4" width="16.26953125" customWidth="1"/>
    <col min="5" max="5" width="11.7265625" customWidth="1"/>
    <col min="6" max="6" width="16.54296875" customWidth="1"/>
    <col min="7" max="7" width="16.81640625" customWidth="1"/>
    <col min="8" max="8" width="14.7265625" customWidth="1"/>
    <col min="9" max="9" width="10.54296875" customWidth="1"/>
    <col min="10" max="10" width="14.1796875" customWidth="1"/>
    <col min="11" max="11" width="13.6328125" customWidth="1"/>
    <col min="12" max="12" width="12.90625" customWidth="1"/>
  </cols>
  <sheetData>
    <row r="1" spans="1:12">
      <c r="A1" t="s">
        <v>36</v>
      </c>
      <c r="B1" t="s">
        <v>39</v>
      </c>
      <c r="C1" t="s">
        <v>41</v>
      </c>
      <c r="D1" t="s">
        <v>43</v>
      </c>
      <c r="E1" t="s">
        <v>45</v>
      </c>
      <c r="F1" t="s">
        <v>58</v>
      </c>
      <c r="G1" t="s">
        <v>59</v>
      </c>
      <c r="H1" t="s">
        <v>60</v>
      </c>
      <c r="I1" t="s">
        <v>42</v>
      </c>
      <c r="J1" t="s">
        <v>44</v>
      </c>
      <c r="K1" t="s">
        <v>46</v>
      </c>
      <c r="L1" t="s">
        <v>48</v>
      </c>
    </row>
    <row r="2" spans="1:12">
      <c r="A2" t="s">
        <v>77</v>
      </c>
      <c r="B2" t="s">
        <v>78</v>
      </c>
      <c r="C2" t="s">
        <v>79</v>
      </c>
      <c r="D2" t="s">
        <v>80</v>
      </c>
      <c r="E2" t="s">
        <v>68</v>
      </c>
      <c r="F2">
        <v>7</v>
      </c>
      <c r="G2" t="s">
        <v>81</v>
      </c>
      <c r="H2" t="s">
        <v>54</v>
      </c>
      <c r="I2" t="s">
        <v>82</v>
      </c>
      <c r="J2">
        <v>983209803</v>
      </c>
      <c r="K2" t="s">
        <v>83</v>
      </c>
      <c r="L2">
        <v>0</v>
      </c>
    </row>
    <row r="3" spans="1:12">
      <c r="A3" t="s">
        <v>63</v>
      </c>
      <c r="B3" t="s">
        <v>73</v>
      </c>
      <c r="C3" t="s">
        <v>74</v>
      </c>
      <c r="D3" t="s">
        <v>34</v>
      </c>
      <c r="E3" t="s">
        <v>50</v>
      </c>
      <c r="F3">
        <v>3</v>
      </c>
      <c r="G3" t="s">
        <v>75</v>
      </c>
      <c r="H3" t="s">
        <v>76</v>
      </c>
      <c r="I3" t="s">
        <v>55</v>
      </c>
      <c r="J3">
        <v>9088213987</v>
      </c>
      <c r="K3" t="s">
        <v>70</v>
      </c>
      <c r="L3" t="s">
        <v>57</v>
      </c>
    </row>
    <row r="4" spans="1:12">
      <c r="A4" t="s">
        <v>64</v>
      </c>
      <c r="B4" t="s">
        <v>65</v>
      </c>
      <c r="C4" t="s">
        <v>66</v>
      </c>
      <c r="D4" t="s">
        <v>67</v>
      </c>
      <c r="E4" t="s">
        <v>68</v>
      </c>
      <c r="F4">
        <v>3</v>
      </c>
      <c r="G4" t="s">
        <v>72</v>
      </c>
      <c r="H4" t="s">
        <v>71</v>
      </c>
      <c r="I4" t="s">
        <v>55</v>
      </c>
      <c r="J4">
        <v>12213487</v>
      </c>
      <c r="K4" t="s">
        <v>56</v>
      </c>
      <c r="L4" t="s">
        <v>69</v>
      </c>
    </row>
    <row r="5" spans="1:12">
      <c r="A5" t="s">
        <v>51</v>
      </c>
      <c r="B5" t="s">
        <v>52</v>
      </c>
      <c r="C5" t="s">
        <v>63</v>
      </c>
      <c r="D5" t="s">
        <v>49</v>
      </c>
      <c r="E5" t="s">
        <v>50</v>
      </c>
      <c r="F5">
        <v>9</v>
      </c>
      <c r="G5" t="s">
        <v>53</v>
      </c>
      <c r="H5" t="s">
        <v>54</v>
      </c>
      <c r="I5" t="s">
        <v>55</v>
      </c>
      <c r="J5">
        <v>939322490132</v>
      </c>
      <c r="K5" t="s">
        <v>56</v>
      </c>
      <c r="L5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3:C9"/>
  <sheetViews>
    <sheetView workbookViewId="0">
      <selection activeCell="H4" sqref="H4"/>
    </sheetView>
  </sheetViews>
  <sheetFormatPr defaultRowHeight="14.5"/>
  <cols>
    <col min="1" max="1" width="12.36328125" bestFit="1" customWidth="1"/>
    <col min="2" max="2" width="15.26953125" bestFit="1" customWidth="1"/>
    <col min="3" max="3" width="10.7265625" bestFit="1" customWidth="1"/>
    <col min="4" max="4" width="10.7265625" customWidth="1"/>
    <col min="5" max="5" width="13.36328125" bestFit="1" customWidth="1"/>
    <col min="6" max="6" width="17.1796875" bestFit="1" customWidth="1"/>
    <col min="7" max="7" width="18.1796875" bestFit="1" customWidth="1"/>
  </cols>
  <sheetData>
    <row r="3" spans="1:3">
      <c r="A3" s="22" t="s">
        <v>114</v>
      </c>
      <c r="B3" s="22" t="s">
        <v>115</v>
      </c>
    </row>
    <row r="4" spans="1:3">
      <c r="A4" s="22" t="s">
        <v>112</v>
      </c>
      <c r="B4" t="s">
        <v>116</v>
      </c>
      <c r="C4" t="s">
        <v>113</v>
      </c>
    </row>
    <row r="5" spans="1:3">
      <c r="A5" s="7" t="s">
        <v>93</v>
      </c>
      <c r="B5" s="23">
        <v>78</v>
      </c>
      <c r="C5" s="23">
        <v>78</v>
      </c>
    </row>
    <row r="6" spans="1:3">
      <c r="A6" s="7" t="s">
        <v>98</v>
      </c>
      <c r="B6" s="23">
        <v>72</v>
      </c>
      <c r="C6" s="23">
        <v>72</v>
      </c>
    </row>
    <row r="7" spans="1:3">
      <c r="A7" s="7" t="s">
        <v>95</v>
      </c>
      <c r="B7" s="23">
        <v>98</v>
      </c>
      <c r="C7" s="23">
        <v>98</v>
      </c>
    </row>
    <row r="8" spans="1:3">
      <c r="A8" s="7" t="s">
        <v>92</v>
      </c>
      <c r="B8" s="23">
        <v>87</v>
      </c>
      <c r="C8" s="23">
        <v>87</v>
      </c>
    </row>
    <row r="9" spans="1:3">
      <c r="A9" s="7" t="s">
        <v>113</v>
      </c>
      <c r="B9" s="23">
        <v>335</v>
      </c>
      <c r="C9" s="23">
        <v>335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C2:L19"/>
  <sheetViews>
    <sheetView workbookViewId="0">
      <selection activeCell="G21" sqref="G21"/>
    </sheetView>
  </sheetViews>
  <sheetFormatPr defaultRowHeight="14.5"/>
  <cols>
    <col min="4" max="4" width="10.81640625" customWidth="1"/>
    <col min="5" max="5" width="10.453125" customWidth="1"/>
    <col min="6" max="8" width="10.7265625" customWidth="1"/>
    <col min="9" max="9" width="11" customWidth="1"/>
    <col min="10" max="10" width="11.54296875" customWidth="1"/>
    <col min="11" max="11" width="15.26953125" customWidth="1"/>
    <col min="12" max="12" width="21.1796875" customWidth="1"/>
  </cols>
  <sheetData>
    <row r="2" spans="3:12">
      <c r="C2" s="21"/>
      <c r="D2" s="45" t="s">
        <v>87</v>
      </c>
      <c r="E2" s="46"/>
      <c r="F2" s="46"/>
      <c r="G2" s="46"/>
      <c r="H2" s="46"/>
      <c r="I2" s="46"/>
      <c r="J2" s="46"/>
      <c r="K2" s="46"/>
      <c r="L2" s="53"/>
    </row>
    <row r="3" spans="3:12">
      <c r="C3" s="21"/>
      <c r="D3" s="47"/>
      <c r="E3" s="48"/>
      <c r="F3" s="48"/>
      <c r="G3" s="48"/>
      <c r="H3" s="48"/>
      <c r="I3" s="48"/>
      <c r="J3" s="48"/>
      <c r="K3" s="48"/>
      <c r="L3" s="54"/>
    </row>
    <row r="4" spans="3:12">
      <c r="D4" s="52" t="s">
        <v>36</v>
      </c>
      <c r="E4" s="52" t="s">
        <v>88</v>
      </c>
      <c r="F4" s="52" t="s">
        <v>89</v>
      </c>
      <c r="G4" s="52" t="s">
        <v>90</v>
      </c>
      <c r="H4" s="52" t="s">
        <v>91</v>
      </c>
      <c r="I4" s="52" t="s">
        <v>45</v>
      </c>
      <c r="J4" s="52" t="s">
        <v>105</v>
      </c>
      <c r="K4" s="52" t="s">
        <v>117</v>
      </c>
      <c r="L4" s="8" t="s">
        <v>118</v>
      </c>
    </row>
    <row r="5" spans="3:12">
      <c r="D5" s="8" t="s">
        <v>92</v>
      </c>
      <c r="E5" s="8">
        <v>10</v>
      </c>
      <c r="F5" s="8" t="s">
        <v>99</v>
      </c>
      <c r="G5" s="8">
        <v>87</v>
      </c>
      <c r="H5" s="8" t="s">
        <v>103</v>
      </c>
      <c r="I5" s="8" t="s">
        <v>68</v>
      </c>
      <c r="J5" s="8" t="str">
        <f>IF(G5:G12&gt;=70,"PASS","FAIL")</f>
        <v>PASS</v>
      </c>
      <c r="K5" s="8" t="str">
        <f>IF(G5:G12&gt;73,"Scholarship","No Scholarshop")</f>
        <v>Scholarship</v>
      </c>
      <c r="L5" s="8" t="str">
        <f>IF(G5:G12&gt;73,"EXCELLENT",IF(G5:G12&lt;73,"NEED IMPROVEMENT"))</f>
        <v>EXCELLENT</v>
      </c>
    </row>
    <row r="6" spans="3:12">
      <c r="D6" s="8" t="s">
        <v>93</v>
      </c>
      <c r="E6" s="8">
        <v>9</v>
      </c>
      <c r="F6" s="8" t="s">
        <v>100</v>
      </c>
      <c r="G6" s="8">
        <v>78</v>
      </c>
      <c r="H6" s="8" t="s">
        <v>103</v>
      </c>
      <c r="I6" s="8" t="s">
        <v>50</v>
      </c>
      <c r="J6" s="8" t="str">
        <f t="shared" ref="J6:J12" si="0">IF(G6:G13&gt;=70,"PASS","FAIL")</f>
        <v>PASS</v>
      </c>
      <c r="K6" s="8" t="str">
        <f t="shared" ref="K6:K12" si="1">IF(G6:G13&gt;73,"Scholarship","No Scholarshop")</f>
        <v>Scholarship</v>
      </c>
      <c r="L6" s="8" t="str">
        <f t="shared" ref="L6:L12" si="2">IF(G6:G13&gt;73,"EXCELLENT",IF(G6:G13&lt;73,"NEED IMPROVEMENT"))</f>
        <v>EXCELLENT</v>
      </c>
    </row>
    <row r="7" spans="3:12">
      <c r="D7" s="8" t="s">
        <v>94</v>
      </c>
      <c r="E7" s="8">
        <v>10</v>
      </c>
      <c r="F7" s="8" t="s">
        <v>102</v>
      </c>
      <c r="G7" s="8">
        <v>32</v>
      </c>
      <c r="H7" s="8" t="s">
        <v>104</v>
      </c>
      <c r="I7" s="8" t="s">
        <v>68</v>
      </c>
      <c r="J7" s="8" t="str">
        <f t="shared" si="0"/>
        <v>FAIL</v>
      </c>
      <c r="K7" s="8" t="str">
        <f t="shared" si="1"/>
        <v>No Scholarshop</v>
      </c>
      <c r="L7" s="8" t="str">
        <f t="shared" si="2"/>
        <v>NEED IMPROVEMENT</v>
      </c>
    </row>
    <row r="8" spans="3:12">
      <c r="D8" s="8" t="s">
        <v>74</v>
      </c>
      <c r="E8" s="8">
        <v>8</v>
      </c>
      <c r="F8" s="8" t="s">
        <v>101</v>
      </c>
      <c r="G8" s="8">
        <v>49</v>
      </c>
      <c r="H8" s="8" t="s">
        <v>104</v>
      </c>
      <c r="I8" s="8" t="s">
        <v>50</v>
      </c>
      <c r="J8" s="8" t="str">
        <f t="shared" si="0"/>
        <v>FAIL</v>
      </c>
      <c r="K8" s="8" t="str">
        <f t="shared" si="1"/>
        <v>No Scholarshop</v>
      </c>
      <c r="L8" s="8" t="str">
        <f t="shared" si="2"/>
        <v>NEED IMPROVEMENT</v>
      </c>
    </row>
    <row r="9" spans="3:12">
      <c r="D9" s="8" t="s">
        <v>95</v>
      </c>
      <c r="E9" s="8">
        <v>7</v>
      </c>
      <c r="F9" s="8" t="s">
        <v>99</v>
      </c>
      <c r="G9" s="8">
        <v>98</v>
      </c>
      <c r="H9" s="8" t="s">
        <v>103</v>
      </c>
      <c r="I9" s="8" t="s">
        <v>50</v>
      </c>
      <c r="J9" s="8" t="str">
        <f t="shared" si="0"/>
        <v>PASS</v>
      </c>
      <c r="K9" s="8" t="str">
        <f t="shared" si="1"/>
        <v>Scholarship</v>
      </c>
      <c r="L9" s="8" t="str">
        <f t="shared" si="2"/>
        <v>EXCELLENT</v>
      </c>
    </row>
    <row r="10" spans="3:12">
      <c r="D10" s="8" t="s">
        <v>96</v>
      </c>
      <c r="E10" s="8">
        <v>9</v>
      </c>
      <c r="F10" s="8" t="s">
        <v>100</v>
      </c>
      <c r="G10" s="8">
        <v>38</v>
      </c>
      <c r="H10" s="8" t="s">
        <v>103</v>
      </c>
      <c r="I10" s="8" t="s">
        <v>50</v>
      </c>
      <c r="J10" s="8" t="str">
        <f>IF(G10:G17&gt;=70,"PASS","FAIL")</f>
        <v>FAIL</v>
      </c>
      <c r="K10" s="8" t="str">
        <f t="shared" si="1"/>
        <v>No Scholarshop</v>
      </c>
      <c r="L10" s="8" t="str">
        <f t="shared" si="2"/>
        <v>NEED IMPROVEMENT</v>
      </c>
    </row>
    <row r="11" spans="3:12">
      <c r="D11" s="8" t="s">
        <v>97</v>
      </c>
      <c r="E11" s="8">
        <v>7</v>
      </c>
      <c r="F11" s="8" t="s">
        <v>102</v>
      </c>
      <c r="G11" s="8">
        <v>9</v>
      </c>
      <c r="H11" s="8" t="s">
        <v>104</v>
      </c>
      <c r="I11" s="8" t="s">
        <v>50</v>
      </c>
      <c r="J11" s="8" t="str">
        <f t="shared" si="0"/>
        <v>FAIL</v>
      </c>
      <c r="K11" s="8" t="str">
        <f t="shared" si="1"/>
        <v>No Scholarshop</v>
      </c>
      <c r="L11" s="8" t="str">
        <f t="shared" si="2"/>
        <v>NEED IMPROVEMENT</v>
      </c>
    </row>
    <row r="12" spans="3:12">
      <c r="D12" s="8" t="s">
        <v>98</v>
      </c>
      <c r="E12" s="8">
        <v>9</v>
      </c>
      <c r="F12" s="8" t="s">
        <v>101</v>
      </c>
      <c r="G12" s="8">
        <v>72</v>
      </c>
      <c r="H12" s="8" t="s">
        <v>103</v>
      </c>
      <c r="I12" s="8" t="s">
        <v>68</v>
      </c>
      <c r="J12" s="8" t="str">
        <f t="shared" si="0"/>
        <v>PASS</v>
      </c>
      <c r="K12" s="8" t="str">
        <f t="shared" si="1"/>
        <v>No Scholarshop</v>
      </c>
      <c r="L12" s="8" t="str">
        <f t="shared" si="2"/>
        <v>NEED IMPROVEMENT</v>
      </c>
    </row>
    <row r="13" spans="3:12">
      <c r="F13" s="55" t="s">
        <v>106</v>
      </c>
      <c r="G13" s="56"/>
      <c r="H13" s="8">
        <f>SUM(G5:G12)</f>
        <v>463</v>
      </c>
    </row>
    <row r="14" spans="3:12">
      <c r="F14" s="49" t="s">
        <v>107</v>
      </c>
      <c r="G14" s="50"/>
      <c r="H14" s="8">
        <f>AVERAGE(G5:G12)</f>
        <v>57.875</v>
      </c>
    </row>
    <row r="15" spans="3:12">
      <c r="F15" s="51" t="s">
        <v>108</v>
      </c>
      <c r="G15" s="51"/>
      <c r="H15" s="18">
        <f>COUNTIF(H5:H12,"YES")</f>
        <v>5</v>
      </c>
    </row>
    <row r="16" spans="3:12">
      <c r="F16" s="57" t="s">
        <v>109</v>
      </c>
      <c r="G16" s="57"/>
      <c r="H16" s="8">
        <f>COUNTIF(J5:J12,"PASS")</f>
        <v>4</v>
      </c>
    </row>
    <row r="17" spans="6:9">
      <c r="F17" s="43" t="s">
        <v>110</v>
      </c>
      <c r="G17" s="43"/>
      <c r="H17" s="58">
        <f>H19</f>
        <v>98</v>
      </c>
      <c r="I17" s="10"/>
    </row>
    <row r="18" spans="6:9">
      <c r="F18" s="44" t="s">
        <v>111</v>
      </c>
      <c r="G18" s="44"/>
      <c r="H18" s="59" t="str">
        <f>VLOOKUP(D5,D4:J12,7,FALSE)</f>
        <v>PASS</v>
      </c>
    </row>
    <row r="19" spans="6:9">
      <c r="F19" s="44" t="s">
        <v>119</v>
      </c>
      <c r="G19" s="44"/>
      <c r="H19" s="59">
        <f>VLOOKUP("hina",D4:G12,4,FALSE)</f>
        <v>98</v>
      </c>
    </row>
  </sheetData>
  <mergeCells count="9">
    <mergeCell ref="L2:L3"/>
    <mergeCell ref="F13:G13"/>
    <mergeCell ref="F19:G19"/>
    <mergeCell ref="F17:G17"/>
    <mergeCell ref="F18:G18"/>
    <mergeCell ref="D2:K3"/>
    <mergeCell ref="F14:G14"/>
    <mergeCell ref="F15:G15"/>
    <mergeCell ref="F16:G16"/>
  </mergeCells>
  <conditionalFormatting sqref="G5:G12">
    <cfRule type="cellIs" dxfId="4" priority="5" operator="lessThan">
      <formula>70</formula>
    </cfRule>
  </conditionalFormatting>
  <conditionalFormatting sqref="L5:L12">
    <cfRule type="containsText" dxfId="3" priority="3" operator="containsText" text="NEED IMPROVEMENT">
      <formula>NOT(ISERROR(SEARCH("NEED IMPROVEMENT",L5)))</formula>
    </cfRule>
    <cfRule type="containsText" dxfId="2" priority="4" operator="containsText" text="EXCELLENT">
      <formula>NOT(ISERROR(SEARCH("EXCELLENT",L5)))</formula>
    </cfRule>
  </conditionalFormatting>
  <conditionalFormatting sqref="J5:J12">
    <cfRule type="containsText" dxfId="1" priority="1" operator="containsText" text="FAIL">
      <formula>NOT(ISERROR(SEARCH("FAIL",J5)))</formula>
    </cfRule>
    <cfRule type="containsText" dxfId="0" priority="2" operator="containsText" text="PASS">
      <formula>NOT(ISERROR(SEARCH("PASS",J5)))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Sheet6</vt:lpstr>
      <vt:lpstr>Sheet3</vt:lpstr>
      <vt:lpstr>Sheet5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UC</cp:lastModifiedBy>
  <cp:lastPrinted>2026-02-01T16:38:59Z</cp:lastPrinted>
  <dcterms:created xsi:type="dcterms:W3CDTF">2026-01-30T19:36:03Z</dcterms:created>
  <dcterms:modified xsi:type="dcterms:W3CDTF">2026-02-05T15:34:30Z</dcterms:modified>
</cp:coreProperties>
</file>